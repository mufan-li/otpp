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RVD\Homes$\tangyuqi\Desktop\Bill's Files\"/>
    </mc:Choice>
  </mc:AlternateContent>
  <bookViews>
    <workbookView xWindow="0" yWindow="0" windowWidth="14370" windowHeight="11775"/>
  </bookViews>
  <sheets>
    <sheet name="Convert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4" i="1"/>
  <c r="B18" i="1"/>
  <c r="B17" i="1"/>
  <c r="B13" i="1"/>
  <c r="B19" i="1" l="1"/>
</calcChain>
</file>

<file path=xl/sharedStrings.xml><?xml version="1.0" encoding="utf-8"?>
<sst xmlns="http://schemas.openxmlformats.org/spreadsheetml/2006/main" count="17" uniqueCount="17">
  <si>
    <t>Maturity (Years)</t>
  </si>
  <si>
    <t>Coupon Rate</t>
  </si>
  <si>
    <t>Convertion Ratio</t>
  </si>
  <si>
    <t>S_0</t>
  </si>
  <si>
    <t>Risk Free Rate</t>
  </si>
  <si>
    <t>Default Intensity</t>
  </si>
  <si>
    <t>Time Steps</t>
  </si>
  <si>
    <t>Dividend Yield</t>
  </si>
  <si>
    <t>Sigma</t>
  </si>
  <si>
    <t>Recovery</t>
  </si>
  <si>
    <t>Convert Price</t>
  </si>
  <si>
    <t>Input</t>
  </si>
  <si>
    <t>Binomial Delta</t>
  </si>
  <si>
    <t>epsilon</t>
  </si>
  <si>
    <t>S0+epsilon</t>
  </si>
  <si>
    <t>S0-epsilon</t>
  </si>
  <si>
    <t>FD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</si>
</sst>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workbookViewId="0">
      <selection activeCell="B19" sqref="B19"/>
    </sheetView>
  </sheetViews>
  <sheetFormatPr defaultRowHeight="15" x14ac:dyDescent="0.25"/>
  <cols>
    <col min="1" max="1" width="15.28515625" bestFit="1" customWidth="1"/>
    <col min="2" max="2" width="10" bestFit="1" customWidth="1"/>
  </cols>
  <sheetData>
    <row r="1" spans="1:5" x14ac:dyDescent="0.25">
      <c r="B1" t="s">
        <v>11</v>
      </c>
    </row>
    <row r="2" spans="1:5" x14ac:dyDescent="0.25">
      <c r="A2" t="s">
        <v>0</v>
      </c>
      <c r="B2">
        <v>5</v>
      </c>
    </row>
    <row r="3" spans="1:5" x14ac:dyDescent="0.25">
      <c r="A3" t="s">
        <v>1</v>
      </c>
      <c r="B3" s="1">
        <v>0.03</v>
      </c>
      <c r="C3" s="1"/>
      <c r="D3" s="2"/>
      <c r="E3" s="2"/>
    </row>
    <row r="4" spans="1:5" x14ac:dyDescent="0.25">
      <c r="A4" t="s">
        <v>6</v>
      </c>
      <c r="B4">
        <v>100</v>
      </c>
    </row>
    <row r="5" spans="1:5" x14ac:dyDescent="0.25">
      <c r="A5" t="s">
        <v>2</v>
      </c>
      <c r="B5">
        <v>3.7</v>
      </c>
    </row>
    <row r="6" spans="1:5" x14ac:dyDescent="0.25">
      <c r="A6" t="s">
        <v>3</v>
      </c>
      <c r="B6">
        <v>20</v>
      </c>
    </row>
    <row r="7" spans="1:5" x14ac:dyDescent="0.25">
      <c r="A7" t="s">
        <v>4</v>
      </c>
      <c r="B7" s="1">
        <v>1.2500000000000001E-2</v>
      </c>
      <c r="C7" s="1"/>
      <c r="D7" s="1"/>
      <c r="E7" s="1"/>
    </row>
    <row r="8" spans="1:5" x14ac:dyDescent="0.25">
      <c r="A8" t="s">
        <v>8</v>
      </c>
      <c r="B8" s="2">
        <v>0.3</v>
      </c>
      <c r="C8" s="2"/>
      <c r="D8" s="2"/>
      <c r="E8" s="2"/>
    </row>
    <row r="9" spans="1:5" x14ac:dyDescent="0.25">
      <c r="A9" t="s">
        <v>5</v>
      </c>
      <c r="B9" s="2">
        <v>0.01</v>
      </c>
      <c r="C9" s="2"/>
      <c r="D9" s="2"/>
      <c r="E9" s="2"/>
    </row>
    <row r="10" spans="1:5" x14ac:dyDescent="0.25">
      <c r="A10" t="s">
        <v>7</v>
      </c>
      <c r="B10" s="2">
        <v>0</v>
      </c>
      <c r="C10" s="2"/>
      <c r="D10" s="2"/>
      <c r="E10" s="2"/>
    </row>
    <row r="11" spans="1:5" x14ac:dyDescent="0.25">
      <c r="A11" t="s">
        <v>9</v>
      </c>
      <c r="B11" s="2">
        <v>0.4</v>
      </c>
      <c r="C11" s="2"/>
      <c r="D11" s="2"/>
      <c r="E11" s="2"/>
    </row>
    <row r="12" spans="1:5" x14ac:dyDescent="0.25">
      <c r="B12" s="2"/>
      <c r="C12" s="2"/>
    </row>
    <row r="13" spans="1:5" x14ac:dyDescent="0.25">
      <c r="A13" t="s">
        <v>10</v>
      </c>
      <c r="B13">
        <f>Binomial_Convertible_Bond($B$2,$B$3,$B$4,$B$5,$B$6,$B$7,$B$8,$B$9,$B$10,$B$11)</f>
        <v>118.49193352007269</v>
      </c>
    </row>
    <row r="14" spans="1:5" x14ac:dyDescent="0.25">
      <c r="A14" t="s">
        <v>12</v>
      </c>
      <c r="B14">
        <f>get_Convertible_Delta()</f>
        <v>1.8416773452526778</v>
      </c>
    </row>
    <row r="16" spans="1:5" x14ac:dyDescent="0.25">
      <c r="A16" t="s">
        <v>13</v>
      </c>
      <c r="B16">
        <f>0.0000001</f>
        <v>9.9999999999999995E-8</v>
      </c>
    </row>
    <row r="17" spans="1:2" x14ac:dyDescent="0.25">
      <c r="A17" t="s">
        <v>15</v>
      </c>
      <c r="B17">
        <f>Binomial_Convertible_Bond($B$2,$B$3,$B$4,$B$5,$B$6-B16,$B$7,$B$8,$B$9,$B$10,$B$11)</f>
        <v>118.4919333357465</v>
      </c>
    </row>
    <row r="18" spans="1:2" x14ac:dyDescent="0.25">
      <c r="A18" t="s">
        <v>14</v>
      </c>
      <c r="B18">
        <f>Binomial_Convertible_Bond($B$2,$B$3,$B$4,$B$5,$B$6+B16,$B$7,$B$8,$B$9,$B$10,$B$11)</f>
        <v>118.4919337043988</v>
      </c>
    </row>
    <row r="19" spans="1:2" x14ac:dyDescent="0.25">
      <c r="A19" t="s">
        <v>16</v>
      </c>
      <c r="B19">
        <f>(B18-B17)/(2*B16)</f>
        <v>1.8432615433994215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tangyuqi</dc:creator>
  <cp:lastModifiedBy>tangyuqi</cp:lastModifiedBy>
  <dcterms:created xsi:type="dcterms:W3CDTF">2016-05-20T20:46:09Z</dcterms:created>
  <dcterms:modified xsi:type="dcterms:W3CDTF">2016-05-21T04:41:37Z</dcterms:modified>
</cp:coreProperties>
</file>